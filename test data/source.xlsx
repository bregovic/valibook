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ndulka\Documents\Inteligence Studio\D365\DMF\TEST Valibok\relation\"/>
    </mc:Choice>
  </mc:AlternateContent>
  <xr:revisionPtr revIDLastSave="0" documentId="13_ncr:1_{3F8AC65C-BC1B-4D43-8826-7783294E18F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Lis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</calcChain>
</file>

<file path=xl/sharedStrings.xml><?xml version="1.0" encoding="utf-8"?>
<sst xmlns="http://schemas.openxmlformats.org/spreadsheetml/2006/main" count="83" uniqueCount="41">
  <si>
    <t>CountryRegionId</t>
  </si>
  <si>
    <t>Name</t>
  </si>
  <si>
    <t>TaxVATUnreliable</t>
  </si>
  <si>
    <t>VATNum</t>
  </si>
  <si>
    <t>Unknown</t>
  </si>
  <si>
    <t>POL</t>
  </si>
  <si>
    <t>CZE</t>
  </si>
  <si>
    <t>No</t>
  </si>
  <si>
    <t>SRB</t>
  </si>
  <si>
    <t>KRYOGAS DOO BEOGRAD</t>
  </si>
  <si>
    <t>100209697</t>
  </si>
  <si>
    <t>PREDUZECE ZA TRGOVINU PROIZVODNJU I USLUGE DIM-TRADE DOO BEOGRAD (NOVI BEOGRAD)</t>
  </si>
  <si>
    <t>100424609</t>
  </si>
  <si>
    <t>Baywa-r.e. Solar Systems sp. z o. o.</t>
  </si>
  <si>
    <t>5130268790</t>
  </si>
  <si>
    <t>UFI Filters Polans Sp. z o.o.</t>
  </si>
  <si>
    <t>5252712783</t>
  </si>
  <si>
    <t>NETIA SA</t>
  </si>
  <si>
    <t>5260205575</t>
  </si>
  <si>
    <t>CTPark Opole sp. z o.o.</t>
  </si>
  <si>
    <t>CTP Invest Poland Sp. z o.o.</t>
  </si>
  <si>
    <t>CTPark Iłowa Sp. z o.o.</t>
  </si>
  <si>
    <t>6443528921</t>
  </si>
  <si>
    <t>TITANX ENGINE COOLING Sp. z o.o.</t>
  </si>
  <si>
    <t>7543184137</t>
  </si>
  <si>
    <t>Raben Logistics Polska Sp. z o.o.</t>
  </si>
  <si>
    <t>7773249627</t>
  </si>
  <si>
    <t>ANKAJA TSL SPÓŁKA Z OGRANICZONĄ ODPOWIEDZIALNOŚCIĄ</t>
  </si>
  <si>
    <t>9292000482</t>
  </si>
  <si>
    <t>GreenPark Resi I Sp. z o.o.</t>
  </si>
  <si>
    <t>9542773370</t>
  </si>
  <si>
    <t>CTP Invest, spol. s r.o.</t>
  </si>
  <si>
    <t>CZ26166453</t>
  </si>
  <si>
    <t>PL5252340086</t>
  </si>
  <si>
    <t>PL5272784225</t>
  </si>
  <si>
    <t>PL6342642704</t>
  </si>
  <si>
    <t>PL6342642710</t>
  </si>
  <si>
    <t>Greenpark Resi II Sp. z o.o.</t>
  </si>
  <si>
    <t>PL9542773803</t>
  </si>
  <si>
    <t>Sloupec1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</si>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</sst>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horizontal="left"/>
    </xf>
  </cellXfs>
  <cellStyles count="1">
    <cellStyle name="Normální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" displayName="Table" ref="A1:E17" totalsRowShown="0">
  <tableColumns count="5">
    <tableColumn id="1" xr3:uid="{00000000-0010-0000-0000-000001000000}" name="CountryRegionId"/>
    <tableColumn id="2" xr3:uid="{00000000-0010-0000-0000-000002000000}" name="Name"/>
    <tableColumn id="3" xr3:uid="{00000000-0010-0000-0000-000003000000}" name="TaxVATUnreliable"/>
    <tableColumn id="4" xr3:uid="{00000000-0010-0000-0000-000004000000}" name="VATNum"/>
    <tableColumn id="5" xr3:uid="{9EA5817F-80EC-48CE-A213-C2B2B1110F73}" name="Sloupec1" dataDxfId="0">
      <calculatedColumnFormula>VLOOKUP(Table[[#This Row],[VATNum]],List1!A:A,1,FALSE)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C1" sqref="C1"/>
    </sheetView>
  </sheetViews>
  <sheetFormatPr defaultRowHeight="15" x14ac:dyDescent="0.25"/>
  <cols>
    <col min="1" max="1" width="19" style="1"/>
    <col min="2" max="2" width="198" style="1"/>
    <col min="3" max="3" width="20" style="1"/>
    <col min="4" max="4" width="24" style="1"/>
    <col min="5" max="5" width="18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39</v>
      </c>
    </row>
    <row r="2" spans="1:5" x14ac:dyDescent="0.25">
      <c r="A2" s="1" t="s">
        <v>8</v>
      </c>
      <c r="B2" s="1" t="s">
        <v>9</v>
      </c>
      <c r="C2" s="1" t="s">
        <v>4</v>
      </c>
      <c r="D2" s="1" t="s">
        <v>10</v>
      </c>
      <c r="E2" t="s">
        <v>40</v>
      </c>
    </row>
    <row r="3" spans="1:5" x14ac:dyDescent="0.25">
      <c r="A3" s="1" t="s">
        <v>8</v>
      </c>
      <c r="B3" s="1" t="s">
        <v>11</v>
      </c>
      <c r="C3" s="1" t="s">
        <v>4</v>
      </c>
      <c r="D3" s="1" t="s">
        <v>12</v>
      </c>
      <c r="E3" t="s">
        <v>40</v>
      </c>
    </row>
    <row r="4" spans="1:5" x14ac:dyDescent="0.25">
      <c r="A4" s="1" t="s">
        <v>5</v>
      </c>
      <c r="B4" s="1" t="s">
        <v>13</v>
      </c>
      <c r="C4" s="1" t="s">
        <v>4</v>
      </c>
      <c r="D4" s="1" t="s">
        <v>14</v>
      </c>
      <c r="E4" t="str">
        <f>VLOOKUP(Table[[#This Row],[VATNum]],List1!A:A,1,FALSE)</f>
        <v>5130268790</v>
      </c>
    </row>
    <row r="5" spans="1:5" x14ac:dyDescent="0.25">
      <c r="A5" s="1" t="s">
        <v>5</v>
      </c>
      <c r="B5" s="1" t="s">
        <v>15</v>
      </c>
      <c r="C5" s="1" t="s">
        <v>4</v>
      </c>
      <c r="D5" s="1" t="s">
        <v>16</v>
      </c>
      <c r="E5" t="str">
        <f>VLOOKUP(Table[[#This Row],[VATNum]],List1!A:A,1,FALSE)</f>
        <v>5252712783</v>
      </c>
    </row>
    <row r="6" spans="1:5" x14ac:dyDescent="0.25">
      <c r="A6" s="1" t="s">
        <v>5</v>
      </c>
      <c r="B6" s="1" t="s">
        <v>17</v>
      </c>
      <c r="C6" s="1" t="s">
        <v>4</v>
      </c>
      <c r="D6" s="1" t="s">
        <v>18</v>
      </c>
      <c r="E6" t="str">
        <f>VLOOKUP(Table[[#This Row],[VATNum]],List1!A:A,1,FALSE)</f>
        <v>5260205575</v>
      </c>
    </row>
    <row r="7" spans="1:5" x14ac:dyDescent="0.25">
      <c r="A7" s="1" t="s">
        <v>5</v>
      </c>
      <c r="B7" s="1" t="s">
        <v>21</v>
      </c>
      <c r="C7" s="1" t="s">
        <v>4</v>
      </c>
      <c r="D7" s="1" t="s">
        <v>22</v>
      </c>
      <c r="E7" t="str">
        <f>VLOOKUP(Table[[#This Row],[VATNum]],List1!A:A,1,FALSE)</f>
        <v>6443528921</v>
      </c>
    </row>
    <row r="8" spans="1:5" x14ac:dyDescent="0.25">
      <c r="A8" s="1" t="s">
        <v>5</v>
      </c>
      <c r="B8" s="1" t="s">
        <v>23</v>
      </c>
      <c r="C8" s="1" t="s">
        <v>4</v>
      </c>
      <c r="D8" s="1" t="s">
        <v>24</v>
      </c>
      <c r="E8" t="str">
        <f>VLOOKUP(Table[[#This Row],[VATNum]],List1!A:A,1,FALSE)</f>
        <v>7543184137</v>
      </c>
    </row>
    <row r="9" spans="1:5" x14ac:dyDescent="0.25">
      <c r="A9" s="1" t="s">
        <v>5</v>
      </c>
      <c r="B9" s="1" t="s">
        <v>25</v>
      </c>
      <c r="C9" s="1" t="s">
        <v>4</v>
      </c>
      <c r="D9" s="1" t="s">
        <v>26</v>
      </c>
      <c r="E9" t="str">
        <f>VLOOKUP(Table[[#This Row],[VATNum]],List1!A:A,1,FALSE)</f>
        <v>7773249627</v>
      </c>
    </row>
    <row r="10" spans="1:5" x14ac:dyDescent="0.25">
      <c r="A10" s="1" t="s">
        <v>5</v>
      </c>
      <c r="B10" s="1" t="s">
        <v>27</v>
      </c>
      <c r="C10" s="1" t="s">
        <v>4</v>
      </c>
      <c r="D10" s="1" t="s">
        <v>28</v>
      </c>
      <c r="E10" t="str">
        <f>VLOOKUP(Table[[#This Row],[VATNum]],List1!A:A,1,FALSE)</f>
        <v>9292000482</v>
      </c>
    </row>
    <row r="11" spans="1:5" x14ac:dyDescent="0.25">
      <c r="A11" s="1" t="s">
        <v>5</v>
      </c>
      <c r="B11" s="1" t="s">
        <v>29</v>
      </c>
      <c r="C11" s="1" t="s">
        <v>4</v>
      </c>
      <c r="D11" s="1" t="s">
        <v>30</v>
      </c>
      <c r="E11" t="str">
        <f>VLOOKUP(Table[[#This Row],[VATNum]],List1!A:A,1,FALSE)</f>
        <v>9542773370</v>
      </c>
    </row>
    <row r="12" spans="1:5" x14ac:dyDescent="0.25">
      <c r="A12" s="1" t="s">
        <v>6</v>
      </c>
      <c r="B12" s="1" t="s">
        <v>31</v>
      </c>
      <c r="C12" s="1" t="s">
        <v>7</v>
      </c>
      <c r="D12" s="1" t="s">
        <v>32</v>
      </c>
      <c r="E12" t="str">
        <f>VLOOKUP(Table[[#This Row],[VATNum]],List1!A:A,1,FALSE)</f>
        <v>CZ26166453</v>
      </c>
    </row>
    <row r="13" spans="1:5" x14ac:dyDescent="0.25">
      <c r="A13" s="1" t="s">
        <v>5</v>
      </c>
      <c r="C13" s="1" t="s">
        <v>4</v>
      </c>
      <c r="D13" s="1" t="s">
        <v>33</v>
      </c>
      <c r="E13" t="str">
        <f>VLOOKUP(Table[[#This Row],[VATNum]],List1!A:A,1,FALSE)</f>
        <v>PL5252340086</v>
      </c>
    </row>
    <row r="14" spans="1:5" x14ac:dyDescent="0.25">
      <c r="A14" s="1" t="s">
        <v>5</v>
      </c>
      <c r="C14" s="1" t="s">
        <v>4</v>
      </c>
      <c r="D14" s="1" t="s">
        <v>34</v>
      </c>
      <c r="E14" t="str">
        <f>VLOOKUP(Table[[#This Row],[VATNum]],List1!A:A,1,FALSE)</f>
        <v>PL5272784225</v>
      </c>
    </row>
    <row r="15" spans="1:5" x14ac:dyDescent="0.25">
      <c r="A15" s="1" t="s">
        <v>5</v>
      </c>
      <c r="B15" s="1" t="s">
        <v>19</v>
      </c>
      <c r="C15" s="1" t="s">
        <v>4</v>
      </c>
      <c r="D15" s="1" t="s">
        <v>35</v>
      </c>
      <c r="E15" t="str">
        <f>VLOOKUP(Table[[#This Row],[VATNum]],List1!A:A,1,FALSE)</f>
        <v>PL6342642704</v>
      </c>
    </row>
    <row r="16" spans="1:5" x14ac:dyDescent="0.25">
      <c r="A16" s="1" t="s">
        <v>5</v>
      </c>
      <c r="B16" s="1" t="s">
        <v>20</v>
      </c>
      <c r="C16" s="1" t="s">
        <v>4</v>
      </c>
      <c r="D16" s="1" t="s">
        <v>36</v>
      </c>
      <c r="E16" t="str">
        <f>VLOOKUP(Table[[#This Row],[VATNum]],List1!A:A,1,FALSE)</f>
        <v>PL6342642710</v>
      </c>
    </row>
    <row r="17" spans="1:5" x14ac:dyDescent="0.25">
      <c r="A17" s="1" t="s">
        <v>5</v>
      </c>
      <c r="B17" s="1" t="s">
        <v>37</v>
      </c>
      <c r="C17" s="1" t="s">
        <v>4</v>
      </c>
      <c r="D17" s="1" t="s">
        <v>38</v>
      </c>
      <c r="E17" t="str">
        <f>VLOOKUP(Table[[#This Row],[VATNum]],List1!A:A,1,FALSE)</f>
        <v>PL9542773803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2CD80-F30C-43DD-BB62-D9B1EA90958C}">
  <dimension ref="A1:A14"/>
  <sheetViews>
    <sheetView workbookViewId="0">
      <selection sqref="A1:A14"/>
    </sheetView>
  </sheetViews>
  <sheetFormatPr defaultRowHeight="15" x14ac:dyDescent="0.25"/>
  <sheetData>
    <row r="1" spans="1:1" x14ac:dyDescent="0.25">
      <c r="A1" t="s">
        <v>22</v>
      </c>
    </row>
    <row r="2" spans="1:1" x14ac:dyDescent="0.25">
      <c r="A2" t="s">
        <v>32</v>
      </c>
    </row>
    <row r="3" spans="1:1" x14ac:dyDescent="0.25">
      <c r="A3" t="s">
        <v>30</v>
      </c>
    </row>
    <row r="4" spans="1:1" x14ac:dyDescent="0.25">
      <c r="A4" t="s">
        <v>18</v>
      </c>
    </row>
    <row r="5" spans="1:1" x14ac:dyDescent="0.25">
      <c r="A5" t="s">
        <v>26</v>
      </c>
    </row>
    <row r="6" spans="1:1" x14ac:dyDescent="0.25">
      <c r="A6" t="s">
        <v>38</v>
      </c>
    </row>
    <row r="7" spans="1:1" x14ac:dyDescent="0.25">
      <c r="A7" t="s">
        <v>14</v>
      </c>
    </row>
    <row r="8" spans="1:1" x14ac:dyDescent="0.25">
      <c r="A8" t="s">
        <v>33</v>
      </c>
    </row>
    <row r="9" spans="1:1" x14ac:dyDescent="0.25">
      <c r="A9" t="s">
        <v>24</v>
      </c>
    </row>
    <row r="10" spans="1:1" x14ac:dyDescent="0.25">
      <c r="A10" t="s">
        <v>34</v>
      </c>
    </row>
    <row r="11" spans="1:1" x14ac:dyDescent="0.25">
      <c r="A11" t="s">
        <v>35</v>
      </c>
    </row>
    <row r="12" spans="1:1" x14ac:dyDescent="0.25">
      <c r="A12" t="s">
        <v>16</v>
      </c>
    </row>
    <row r="13" spans="1:1" x14ac:dyDescent="0.25">
      <c r="A13" t="s">
        <v>36</v>
      </c>
    </row>
    <row r="14" spans="1:1" x14ac:dyDescent="0.25">
      <c r="A14" t="s">
        <v>28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Sheet1</vt:lpstr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Intelstudios Král</dc:creator>
  <cp:lastModifiedBy>Václav Král</cp:lastModifiedBy>
  <dcterms:created xsi:type="dcterms:W3CDTF">2026-01-07T16:44:13Z</dcterms:created>
  <dcterms:modified xsi:type="dcterms:W3CDTF">2026-01-30T09:31:55Z</dcterms:modified>
</cp:coreProperties>
</file>